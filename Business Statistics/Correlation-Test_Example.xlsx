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ha\OneDrive\Documents\AI-ML LEARNING\Business Statistics\"/>
    </mc:Choice>
  </mc:AlternateContent>
  <xr:revisionPtr revIDLastSave="0" documentId="8_{8D9777A2-DD4B-4771-9F06-FB368E39AAF9}" xr6:coauthVersionLast="47" xr6:coauthVersionMax="47" xr10:uidLastSave="{00000000-0000-0000-0000-000000000000}"/>
  <bookViews>
    <workbookView xWindow="-108" yWindow="-108" windowWidth="23256" windowHeight="12456" activeTab="4" xr2:uid="{DD60C36A-6BC4-4FF4-8263-B659ACCB759E}"/>
  </bookViews>
  <sheets>
    <sheet name="Z-Test" sheetId="1" r:id="rId1"/>
    <sheet name="T - Test" sheetId="2" r:id="rId2"/>
    <sheet name="Chi- Square Test" sheetId="3" r:id="rId3"/>
    <sheet name="ANOVA" sheetId="4" r:id="rId4"/>
    <sheet name="Correlation Test" sheetId="5" r:id="rId5"/>
  </sheet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5" l="1"/>
  <c r="B26" i="5"/>
  <c r="M51" i="3"/>
  <c r="F44" i="3"/>
  <c r="N43" i="3"/>
  <c r="N40" i="3"/>
  <c r="O40" i="3"/>
  <c r="P40" i="3"/>
  <c r="O39" i="3"/>
  <c r="P39" i="3"/>
  <c r="N39" i="3"/>
  <c r="N30" i="3"/>
  <c r="P30" i="3"/>
  <c r="O30" i="3"/>
  <c r="P29" i="3"/>
  <c r="O29" i="3"/>
  <c r="N29" i="3"/>
  <c r="C22" i="1"/>
  <c r="B22" i="1"/>
  <c r="C18" i="1"/>
  <c r="B18" i="1"/>
</calcChain>
</file>

<file path=xl/sharedStrings.xml><?xml version="1.0" encoding="utf-8"?>
<sst xmlns="http://schemas.openxmlformats.org/spreadsheetml/2006/main" count="176" uniqueCount="100">
  <si>
    <t>Z - Test</t>
  </si>
  <si>
    <t>Age_F</t>
  </si>
  <si>
    <t>Age_M</t>
  </si>
  <si>
    <t>H0 : There is no significant difference between the mean age of Male and Female</t>
  </si>
  <si>
    <t>H1 : There is a significant difference between the mean age of Male and Female</t>
  </si>
  <si>
    <t>Significance level : 0.05</t>
  </si>
  <si>
    <t>If p &gt; 0.05 --&gt; Accept the null hypothesis</t>
  </si>
  <si>
    <t>If p &lt;0.05 --&gt; Reject the null hypothesis</t>
  </si>
  <si>
    <t>Var1</t>
  </si>
  <si>
    <t>Var2</t>
  </si>
  <si>
    <t xml:space="preserve"> </t>
  </si>
  <si>
    <t>Variance shortcut in Excel :   =VAR.S(coumn nos)</t>
  </si>
  <si>
    <t>z-Test: Two Sample for Means</t>
  </si>
  <si>
    <t>Mean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</si>
  <si>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</si>
  <si>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</si>
  <si>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</si>
  <si>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</si>
  <si>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</si>
  <si>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</si>
  <si>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</si>
  <si>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</si>
  <si>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Mean1</t>
  </si>
  <si>
    <t>Mean2</t>
  </si>
  <si>
    <t>Mean shortcut in Excel : =AVERAGE(column nos)</t>
  </si>
  <si>
    <t>We can cosider any of the p-values (either one tailed or 2 tailed ), here both  p-value are greater than 0.05, hence we accept the null hypothesis (H0).</t>
  </si>
  <si>
    <t>Chi - Square Test</t>
  </si>
  <si>
    <t>Gender</t>
  </si>
  <si>
    <t>Location</t>
  </si>
  <si>
    <t>M</t>
  </si>
  <si>
    <t>F</t>
  </si>
  <si>
    <t>Japan</t>
  </si>
  <si>
    <t>India</t>
  </si>
  <si>
    <t>Korea</t>
  </si>
  <si>
    <t>Count of Gender</t>
  </si>
  <si>
    <t>Row Labels</t>
  </si>
  <si>
    <t>Grand Total</t>
  </si>
  <si>
    <t>H0 : There is no association between gender and Location</t>
  </si>
  <si>
    <t>H1 : There is association between gender and Location</t>
  </si>
  <si>
    <t xml:space="preserve">Hypothesis : </t>
  </si>
  <si>
    <t>If  p-value &gt; 0.05  --&gt; Accept the null hypothesis H0</t>
  </si>
  <si>
    <t>else reject H0</t>
  </si>
  <si>
    <t>Column Labels</t>
  </si>
  <si>
    <r>
      <rPr>
        <sz val="11"/>
        <color rgb="FFC00000"/>
        <rFont val="Calibri"/>
        <family val="2"/>
        <scheme val="minor"/>
      </rPr>
      <t>Pivot Table :</t>
    </r>
    <r>
      <rPr>
        <sz val="11"/>
        <color theme="1"/>
        <rFont val="Calibri"/>
        <family val="2"/>
        <scheme val="minor"/>
      </rPr>
      <t xml:space="preserve"> </t>
    </r>
  </si>
  <si>
    <t>Observed :</t>
  </si>
  <si>
    <t>Row Total</t>
  </si>
  <si>
    <t>Column Total</t>
  </si>
  <si>
    <t>Observed</t>
  </si>
  <si>
    <t>Expected :</t>
  </si>
  <si>
    <t xml:space="preserve">Expected </t>
  </si>
  <si>
    <t>Expected = (Row Total * Column Total) / Grand Total</t>
  </si>
  <si>
    <t>(O-E)^2/E</t>
  </si>
  <si>
    <t>Sum of (O-E)^2/E</t>
  </si>
  <si>
    <t>Xsquare = 7.5</t>
  </si>
  <si>
    <t>df ( degree of freedom)  = (Row -1) * (Column - 1)</t>
  </si>
  <si>
    <t>df=(2-1) * (3-1) = 1*2=2</t>
  </si>
  <si>
    <t>Xsquare</t>
  </si>
  <si>
    <t>df</t>
  </si>
  <si>
    <t xml:space="preserve">p-value </t>
  </si>
  <si>
    <t>p-value=CHISQ.DIST.RT(x,df)</t>
  </si>
  <si>
    <t>p-value</t>
  </si>
  <si>
    <t>Here p-value (0.02) &lt; 0.05 , so we reject the null hypothesis.</t>
  </si>
  <si>
    <t>ANOVA</t>
  </si>
  <si>
    <t>Cholestrol Lowering Drug and Cholestrol levels</t>
  </si>
  <si>
    <t>Group A - 0mg</t>
  </si>
  <si>
    <t>Group B - 50mg</t>
  </si>
  <si>
    <t>Group C - 100mg</t>
  </si>
  <si>
    <t>H0 : mean1=mean2=mean3  --&gt; There is no significant difference between the mean values of each group</t>
  </si>
  <si>
    <t>H1 :  means are not eaual.</t>
  </si>
  <si>
    <t xml:space="preserve">Degrees of freedom : </t>
  </si>
  <si>
    <t xml:space="preserve"> df ( between groups) = No of groups -1 = 3-1=2</t>
  </si>
  <si>
    <t xml:space="preserve">df ( within groups ) = No of observations - no of groups = </t>
  </si>
  <si>
    <t>27 - 3=24</t>
  </si>
  <si>
    <t>If p-value &gt; significance value  --&gt; We accept the null hypothesis</t>
  </si>
  <si>
    <t>else not</t>
  </si>
  <si>
    <t>significance level= 0.05</t>
  </si>
  <si>
    <t>Anova: Single Factor</t>
  </si>
  <si>
    <t>SUMMARY</t>
  </si>
  <si>
    <t>Groups</t>
  </si>
  <si>
    <t>Count</t>
  </si>
  <si>
    <t>Sum</t>
  </si>
  <si>
    <t>Average</t>
  </si>
  <si>
    <t>Variance</t>
  </si>
  <si>
    <t>Source of Variation</t>
  </si>
  <si>
    <t>SS</t>
  </si>
  <si>
    <t>MS</t>
  </si>
  <si>
    <t>P-value</t>
  </si>
  <si>
    <t>F crit</t>
  </si>
  <si>
    <t>Between Groups</t>
  </si>
  <si>
    <t>Within Groups</t>
  </si>
  <si>
    <t>Total</t>
  </si>
  <si>
    <t>Since the p-value is &lt; 0.05, we reject the H0.</t>
  </si>
  <si>
    <t>Conclusion : Means are not equal.</t>
  </si>
  <si>
    <t>Correlation</t>
  </si>
  <si>
    <t>Height</t>
  </si>
  <si>
    <t>Weight</t>
  </si>
  <si>
    <t>Age</t>
  </si>
  <si>
    <t>Salary</t>
  </si>
  <si>
    <t xml:space="preserve">Scatter Plots : </t>
  </si>
  <si>
    <t>In-built formula to calculate correlation is =CORREL(array1,array2)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</si>
</sst>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3F097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7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2" xfId="0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1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3" xfId="0" applyFont="1" applyFill="1" applyBorder="1"/>
    <xf numFmtId="0" fontId="0" fillId="0" borderId="0" xfId="0" applyNumberFormat="1"/>
    <xf numFmtId="0" fontId="1" fillId="2" borderId="4" xfId="0" applyFont="1" applyFill="1" applyBorder="1" applyAlignment="1">
      <alignment horizontal="left"/>
    </xf>
    <xf numFmtId="0" fontId="1" fillId="2" borderId="4" xfId="0" applyNumberFormat="1" applyFont="1" applyFill="1" applyBorder="1"/>
    <xf numFmtId="0" fontId="13" fillId="0" borderId="0" xfId="0" applyFont="1"/>
    <xf numFmtId="0" fontId="4" fillId="0" borderId="0" xfId="0" applyFont="1"/>
    <xf numFmtId="0" fontId="9" fillId="0" borderId="0" xfId="0" applyFont="1"/>
    <xf numFmtId="0" fontId="10" fillId="0" borderId="0" xfId="0" applyFont="1"/>
    <xf numFmtId="0" fontId="14" fillId="0" borderId="5" xfId="0" applyFont="1" applyBorder="1" applyAlignment="1">
      <alignment wrapText="1"/>
    </xf>
    <xf numFmtId="0" fontId="14" fillId="0" borderId="0" xfId="0" applyFont="1" applyFill="1" applyBorder="1" applyAlignment="1">
      <alignment wrapText="1"/>
    </xf>
    <xf numFmtId="0" fontId="1" fillId="0" borderId="5" xfId="0" applyFont="1" applyBorder="1"/>
    <xf numFmtId="0" fontId="0" fillId="0" borderId="5" xfId="0" applyBorder="1"/>
    <xf numFmtId="0" fontId="3" fillId="0" borderId="0" xfId="0" applyFont="1" applyFill="1" applyBorder="1"/>
    <xf numFmtId="0" fontId="12" fillId="0" borderId="0" xfId="0" applyFont="1"/>
    <xf numFmtId="0" fontId="15" fillId="0" borderId="5" xfId="0" applyFont="1" applyBorder="1"/>
    <xf numFmtId="0" fontId="16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F09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Weight vs Height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Test'!$C$5</c:f>
              <c:strCache>
                <c:ptCount val="1"/>
                <c:pt idx="0">
                  <c:v>Weight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'Correlation Test'!$B$6:$B$15</c:f>
              <c:numCache>
                <c:formatCode>General</c:formatCode>
                <c:ptCount val="10"/>
                <c:pt idx="0">
                  <c:v>171</c:v>
                </c:pt>
                <c:pt idx="1">
                  <c:v>170</c:v>
                </c:pt>
                <c:pt idx="2">
                  <c:v>165</c:v>
                </c:pt>
                <c:pt idx="3">
                  <c:v>180</c:v>
                </c:pt>
                <c:pt idx="4">
                  <c:v>182</c:v>
                </c:pt>
                <c:pt idx="5">
                  <c:v>172</c:v>
                </c:pt>
                <c:pt idx="6">
                  <c:v>156</c:v>
                </c:pt>
                <c:pt idx="7">
                  <c:v>140</c:v>
                </c:pt>
                <c:pt idx="8">
                  <c:v>180</c:v>
                </c:pt>
                <c:pt idx="9">
                  <c:v>170</c:v>
                </c:pt>
              </c:numCache>
            </c:numRef>
          </c:xVal>
          <c:yVal>
            <c:numRef>
              <c:f>'Correlation Test'!$C$6:$C$15</c:f>
              <c:numCache>
                <c:formatCode>General</c:formatCode>
                <c:ptCount val="10"/>
                <c:pt idx="0">
                  <c:v>80</c:v>
                </c:pt>
                <c:pt idx="1">
                  <c:v>80</c:v>
                </c:pt>
                <c:pt idx="2">
                  <c:v>70</c:v>
                </c:pt>
                <c:pt idx="3">
                  <c:v>91</c:v>
                </c:pt>
                <c:pt idx="4">
                  <c:v>92</c:v>
                </c:pt>
                <c:pt idx="5">
                  <c:v>81</c:v>
                </c:pt>
                <c:pt idx="6">
                  <c:v>65</c:v>
                </c:pt>
                <c:pt idx="7">
                  <c:v>61</c:v>
                </c:pt>
                <c:pt idx="8">
                  <c:v>91</c:v>
                </c:pt>
                <c:pt idx="9">
                  <c:v>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03-4812-A118-2C1159412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754832"/>
        <c:axId val="1782755312"/>
      </c:scatterChart>
      <c:valAx>
        <c:axId val="1782754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5312"/>
        <c:crosses val="autoZero"/>
        <c:crossBetween val="midCat"/>
      </c:valAx>
      <c:valAx>
        <c:axId val="178275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75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vs Salary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'Correlation Test'!$F$5</c:f>
              <c:strCache>
                <c:ptCount val="1"/>
                <c:pt idx="0">
                  <c:v>Salary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'Correlation Test'!$E$6:$E$15</c:f>
              <c:numCache>
                <c:formatCode>General</c:formatCode>
                <c:ptCount val="10"/>
                <c:pt idx="0">
                  <c:v>23</c:v>
                </c:pt>
                <c:pt idx="1">
                  <c:v>24</c:v>
                </c:pt>
                <c:pt idx="2">
                  <c:v>31</c:v>
                </c:pt>
                <c:pt idx="3">
                  <c:v>34</c:v>
                </c:pt>
                <c:pt idx="4">
                  <c:v>24</c:v>
                </c:pt>
                <c:pt idx="5">
                  <c:v>22</c:v>
                </c:pt>
                <c:pt idx="6">
                  <c:v>35</c:v>
                </c:pt>
                <c:pt idx="7">
                  <c:v>27</c:v>
                </c:pt>
                <c:pt idx="8">
                  <c:v>21</c:v>
                </c:pt>
                <c:pt idx="9">
                  <c:v>39</c:v>
                </c:pt>
              </c:numCache>
            </c:numRef>
          </c:xVal>
          <c:yVal>
            <c:numRef>
              <c:f>'Correlation Test'!$F$6:$F$15</c:f>
              <c:numCache>
                <c:formatCode>General</c:formatCode>
                <c:ptCount val="10"/>
                <c:pt idx="0">
                  <c:v>10200</c:v>
                </c:pt>
                <c:pt idx="1">
                  <c:v>18000</c:v>
                </c:pt>
                <c:pt idx="2">
                  <c:v>45000</c:v>
                </c:pt>
                <c:pt idx="3">
                  <c:v>80000</c:v>
                </c:pt>
                <c:pt idx="4">
                  <c:v>12000</c:v>
                </c:pt>
                <c:pt idx="5">
                  <c:v>8000</c:v>
                </c:pt>
                <c:pt idx="6">
                  <c:v>92000</c:v>
                </c:pt>
                <c:pt idx="7">
                  <c:v>20000</c:v>
                </c:pt>
                <c:pt idx="8">
                  <c:v>12000</c:v>
                </c:pt>
                <c:pt idx="9">
                  <c:v>140000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E5-4B44-939D-E7A1378B5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558704"/>
        <c:axId val="2091551984"/>
      </c:scatterChart>
      <c:valAx>
        <c:axId val="209155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51984"/>
        <c:crosses val="autoZero"/>
        <c:crossBetween val="midCat"/>
      </c:valAx>
      <c:valAx>
        <c:axId val="209155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55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297180</xdr:colOff>
      <xdr:row>3</xdr:row>
      <xdr:rowOff>194310</xdr:rowOff>
    </xdr:from>
    <xdr:to>
      <xdr:col>16</xdr:col>
      <xdr:colOff>601980</xdr:colOff>
      <xdr:row>20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3C94E3-6819-88F9-C0A2-83716AA37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3</xdr:row>
      <xdr:rowOff>179070</xdr:rowOff>
    </xdr:from>
    <xdr:to>
      <xdr:col>25</xdr:col>
      <xdr:colOff>304800</xdr:colOff>
      <xdr:row>21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D83D4E-8913-FE94-222B-7AD29E304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neha nair" refreshedDate="46187.516818865741" createdVersion="8" refreshedVersion="8" minRefreshableVersion="3" recordCount="20" xr:uid="{9B688632-CB37-4005-98C1-81EBC1A03B48}">
  <cacheSource type="worksheet">
    <worksheetSource name="Table4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Japan"/>
        <s v="India"/>
        <s v="Kore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  <r>
    <x v="0"/>
    <x v="0"/>
  </r>
  <r>
    <x v="1"/>
    <x v="1"/>
  </r>
  <r>
    <x v="1"/>
    <x v="0"/>
  </r>
  <r>
    <x v="1"/>
    <x v="0"/>
  </r>
  <r>
    <x v="0"/>
    <x v="1"/>
  </r>
  <r>
    <x v="0"/>
    <x v="2"/>
  </r>
  <r>
    <x v="0"/>
    <x v="2"/>
  </r>
  <r>
    <x v="1"/>
    <x v="0"/>
  </r>
  <r>
    <x v="1"/>
    <x v="1"/>
  </r>
  <r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81E82A-6E04-4B29-A6A1-39C29E0D637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13:Q17" firstHeaderRow="1" firstDataRow="2" firstDataCol="1"/>
  <pivotFields count="2">
    <pivotField axis="axisRow" dataField="1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A0CEFA-F0F2-46B4-96EC-6D49BAEDC800}" name="Table3" displayName="Table3" ref="B5:C15" totalsRowShown="0" headerRowDxfId="1">
  <autoFilter ref="B5:C15" xr:uid="{65A0CEFA-F0F2-46B4-96EC-6D49BAEDC800}"/>
  <tableColumns count="2">
    <tableColumn id="1" xr3:uid="{9A08D74C-54F6-4397-9671-0E83D49846FD}" name="Age_F"/>
    <tableColumn id="2" xr3:uid="{BE9C9575-0CA6-449B-A0A0-24AE912EC05E}" name="Age_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0FA2F5-4512-4D51-9BAA-9FAA62A5A0FB}" name="Table4" displayName="Table4" ref="B6:C26" totalsRowShown="0" headerRowDxfId="0" dataCellStyle="Normal">
  <autoFilter ref="B6:C26" xr:uid="{1F0FA2F5-4512-4D51-9BAA-9FAA62A5A0FB}"/>
  <tableColumns count="2">
    <tableColumn id="1" xr3:uid="{05B774C5-0F5A-4792-AF36-33A19394483F}" name="Gender" dataCellStyle="Normal"/>
    <tableColumn id="2" xr3:uid="{36409777-2545-4FD7-BD97-09E0DBC01650}" name="Location" dataCellStyle="Norm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66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E7E4C3-C646-46CE-8B5B-7B205235268A}">
  <we:reference id="wa104379190" version="2.0.0.0" store="en-US" storeType="OMEX"/>
  <we:alternateReferences>
    <we:reference id="wa104379190" version="2.0.0.0" store="wa104379190" storeType="OMEX"/>
  </we:alternateReferences>
  <we:properties/>
  <we:bindings>
    <we:binding id="RangeSelect" type="matrix" appref="{41C19471-3C14-43A4-B847-B5E02F399769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DA44-C65F-4A1C-A859-F8A5DBFC11A3}">
  <dimension ref="B3:N22"/>
  <sheetViews>
    <sheetView topLeftCell="G7" workbookViewId="0">
      <selection activeCell="L22" sqref="L22"/>
    </sheetView>
  </sheetViews>
  <sheetFormatPr defaultRowHeight="14.4" x14ac:dyDescent="0.3"/>
  <cols>
    <col min="2" max="2" width="12.109375" customWidth="1"/>
    <col min="3" max="3" width="10.6640625" customWidth="1"/>
    <col min="12" max="12" width="27.44140625" customWidth="1"/>
    <col min="13" max="13" width="12.21875" customWidth="1"/>
    <col min="14" max="14" width="11.77734375" customWidth="1"/>
  </cols>
  <sheetData>
    <row r="3" spans="2:14" ht="23.4" x14ac:dyDescent="0.45">
      <c r="B3" s="1" t="s">
        <v>0</v>
      </c>
    </row>
    <row r="5" spans="2:14" x14ac:dyDescent="0.3">
      <c r="B5" s="2" t="s">
        <v>1</v>
      </c>
      <c r="C5" s="2" t="s">
        <v>2</v>
      </c>
      <c r="E5" s="3" t="s">
        <v>3</v>
      </c>
    </row>
    <row r="6" spans="2:14" x14ac:dyDescent="0.3">
      <c r="B6">
        <v>25</v>
      </c>
      <c r="C6">
        <v>23</v>
      </c>
      <c r="E6" s="3" t="s">
        <v>4</v>
      </c>
    </row>
    <row r="7" spans="2:14" x14ac:dyDescent="0.3">
      <c r="B7">
        <v>29</v>
      </c>
      <c r="C7">
        <v>24</v>
      </c>
    </row>
    <row r="8" spans="2:14" x14ac:dyDescent="0.3">
      <c r="B8">
        <v>24</v>
      </c>
      <c r="C8">
        <v>23</v>
      </c>
      <c r="E8" t="s">
        <v>5</v>
      </c>
    </row>
    <row r="9" spans="2:14" x14ac:dyDescent="0.3">
      <c r="B9">
        <v>25</v>
      </c>
      <c r="C9">
        <v>22</v>
      </c>
      <c r="L9" t="s">
        <v>12</v>
      </c>
    </row>
    <row r="10" spans="2:14" ht="15" thickBot="1" x14ac:dyDescent="0.35">
      <c r="B10">
        <v>31</v>
      </c>
      <c r="C10">
        <v>21</v>
      </c>
      <c r="E10" t="s">
        <v>6</v>
      </c>
    </row>
    <row r="11" spans="2:14" x14ac:dyDescent="0.3">
      <c r="B11">
        <v>32</v>
      </c>
      <c r="C11">
        <v>30</v>
      </c>
      <c r="E11" t="s">
        <v>7</v>
      </c>
      <c r="L11" s="7"/>
      <c r="M11" s="7" t="s">
        <v>1</v>
      </c>
      <c r="N11" s="7" t="s">
        <v>2</v>
      </c>
    </row>
    <row r="12" spans="2:14" x14ac:dyDescent="0.3">
      <c r="B12">
        <v>30</v>
      </c>
      <c r="C12">
        <v>32</v>
      </c>
      <c r="L12" s="5" t="s">
        <v>13</v>
      </c>
      <c r="M12" s="5">
        <v>28.2</v>
      </c>
      <c r="N12" s="5">
        <v>25.9</v>
      </c>
    </row>
    <row r="13" spans="2:14" x14ac:dyDescent="0.3">
      <c r="B13">
        <v>32</v>
      </c>
      <c r="C13">
        <v>27</v>
      </c>
      <c r="L13" s="5" t="s">
        <v>14</v>
      </c>
      <c r="M13" s="5">
        <v>9.9499999999999993</v>
      </c>
      <c r="N13" s="5">
        <v>14.32</v>
      </c>
    </row>
    <row r="14" spans="2:14" x14ac:dyDescent="0.3">
      <c r="B14">
        <v>29</v>
      </c>
      <c r="C14">
        <v>28</v>
      </c>
      <c r="L14" s="5" t="s">
        <v>15</v>
      </c>
      <c r="M14" s="5">
        <v>10</v>
      </c>
      <c r="N14" s="5">
        <v>10</v>
      </c>
    </row>
    <row r="15" spans="2:14" x14ac:dyDescent="0.3">
      <c r="B15">
        <v>25</v>
      </c>
      <c r="C15">
        <v>29</v>
      </c>
      <c r="L15" s="5" t="s">
        <v>16</v>
      </c>
      <c r="M15" s="5">
        <v>0</v>
      </c>
      <c r="N15" s="5"/>
    </row>
    <row r="16" spans="2:14" x14ac:dyDescent="0.3">
      <c r="L16" s="5" t="s">
        <v>17</v>
      </c>
      <c r="M16" s="5">
        <v>1.4763623041346035</v>
      </c>
      <c r="N16" s="5"/>
    </row>
    <row r="17" spans="2:14" x14ac:dyDescent="0.3">
      <c r="B17" t="s">
        <v>8</v>
      </c>
      <c r="C17" t="s">
        <v>9</v>
      </c>
      <c r="L17" s="5" t="s">
        <v>18</v>
      </c>
      <c r="M17" s="5">
        <v>6.9923328297872622E-2</v>
      </c>
      <c r="N17" s="5"/>
    </row>
    <row r="18" spans="2:14" x14ac:dyDescent="0.3">
      <c r="B18">
        <f>_xlfn.VAR.S(B6:B15)</f>
        <v>9.9555555555555966</v>
      </c>
      <c r="C18">
        <f>_xlfn.VAR.S(C6:C15)</f>
        <v>14.322222222222182</v>
      </c>
      <c r="D18" t="s">
        <v>10</v>
      </c>
      <c r="E18" s="4" t="s">
        <v>11</v>
      </c>
      <c r="L18" s="5" t="s">
        <v>19</v>
      </c>
      <c r="M18" s="5">
        <v>1.6448536269514715</v>
      </c>
      <c r="N18" s="5"/>
    </row>
    <row r="19" spans="2:14" x14ac:dyDescent="0.3">
      <c r="L19" s="5" t="s">
        <v>20</v>
      </c>
      <c r="M19" s="5">
        <v>0.13984665659574524</v>
      </c>
      <c r="N19" s="5"/>
    </row>
    <row r="20" spans="2:14" ht="15" thickBot="1" x14ac:dyDescent="0.35">
      <c r="L20" s="6" t="s">
        <v>21</v>
      </c>
      <c r="M20" s="6">
        <v>1.9599639845400536</v>
      </c>
      <c r="N20" s="6"/>
    </row>
    <row r="21" spans="2:14" x14ac:dyDescent="0.3">
      <c r="B21" t="s">
        <v>22</v>
      </c>
      <c r="C21" t="s">
        <v>23</v>
      </c>
    </row>
    <row r="22" spans="2:14" x14ac:dyDescent="0.3">
      <c r="B22">
        <f>AVERAGE(Table3[Age_F])</f>
        <v>28.2</v>
      </c>
      <c r="C22">
        <f>AVERAGE(Table3[Age_M])</f>
        <v>25.9</v>
      </c>
      <c r="E22" s="4" t="s">
        <v>24</v>
      </c>
      <c r="L22" s="8" t="s">
        <v>25</v>
      </c>
    </row>
  </sheetData>
  <pageMargins left="0.7" right="0.7" top="0.75" bottom="0.75" header="0.3" footer="0.3"/>
  <tableParts count="1">
    <tablePart r:id="rId1"/>
  </tableParts>
  <extLst>
    <ext xmlns:x15="http://schemas.microsoft.com/office/spreadsheetml/2010/11/main" uri="{F7C9EE02-42E1-4005-9D12-6889AFFD525C}">
      <x15:webExtensions xmlns:xm="http://schemas.microsoft.com/office/excel/2006/main">
        <x15:webExtension appRef="{41C19471-3C14-43A4-B847-B5E02F399769}">
          <xm:f>'Z-Test'!1:1048576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63F6-A8AE-4BFF-A7B8-54EFCBEC14F5}">
  <dimension ref="A1"/>
  <sheetViews>
    <sheetView workbookViewId="0">
      <selection activeCell="C5" sqref="C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70007-C1B4-460D-9ED4-0E2D20F0F19F}">
  <dimension ref="B2:R54"/>
  <sheetViews>
    <sheetView topLeftCell="A25" workbookViewId="0">
      <selection activeCell="L54" sqref="L54"/>
    </sheetView>
  </sheetViews>
  <sheetFormatPr defaultRowHeight="14.4" x14ac:dyDescent="0.3"/>
  <cols>
    <col min="2" max="2" width="9.77734375" customWidth="1"/>
    <col min="3" max="3" width="11.5546875" customWidth="1"/>
    <col min="5" max="5" width="10.21875" customWidth="1"/>
    <col min="6" max="6" width="16.109375" customWidth="1"/>
    <col min="12" max="12" width="12.77734375" customWidth="1"/>
    <col min="13" max="13" width="15" bestFit="1" customWidth="1"/>
    <col min="14" max="14" width="15.5546875" bestFit="1" customWidth="1"/>
    <col min="15" max="16" width="5.88671875" bestFit="1" customWidth="1"/>
    <col min="17" max="17" width="10.77734375" bestFit="1" customWidth="1"/>
    <col min="18" max="18" width="11" customWidth="1"/>
  </cols>
  <sheetData>
    <row r="2" spans="2:17" ht="23.4" x14ac:dyDescent="0.45">
      <c r="B2" s="1" t="s">
        <v>26</v>
      </c>
    </row>
    <row r="6" spans="2:17" x14ac:dyDescent="0.3">
      <c r="B6" s="2" t="s">
        <v>27</v>
      </c>
      <c r="C6" s="2" t="s">
        <v>28</v>
      </c>
    </row>
    <row r="7" spans="2:17" x14ac:dyDescent="0.3">
      <c r="B7" t="s">
        <v>29</v>
      </c>
      <c r="C7" t="s">
        <v>31</v>
      </c>
    </row>
    <row r="8" spans="2:17" x14ac:dyDescent="0.3">
      <c r="B8" t="s">
        <v>30</v>
      </c>
      <c r="C8" t="s">
        <v>32</v>
      </c>
      <c r="E8" s="9" t="s">
        <v>39</v>
      </c>
    </row>
    <row r="9" spans="2:17" x14ac:dyDescent="0.3">
      <c r="B9" t="s">
        <v>30</v>
      </c>
      <c r="C9" t="s">
        <v>31</v>
      </c>
      <c r="E9" s="9" t="s">
        <v>37</v>
      </c>
      <c r="F9" s="9"/>
      <c r="G9" s="9"/>
      <c r="H9" s="9"/>
      <c r="I9" s="9"/>
      <c r="J9" s="9"/>
    </row>
    <row r="10" spans="2:17" x14ac:dyDescent="0.3">
      <c r="B10" t="s">
        <v>30</v>
      </c>
      <c r="C10" t="s">
        <v>31</v>
      </c>
      <c r="E10" s="9" t="s">
        <v>38</v>
      </c>
      <c r="F10" s="9"/>
      <c r="G10" s="9"/>
      <c r="H10" s="9"/>
      <c r="I10" s="9"/>
      <c r="J10" s="9"/>
    </row>
    <row r="11" spans="2:17" x14ac:dyDescent="0.3">
      <c r="B11" t="s">
        <v>29</v>
      </c>
      <c r="C11" t="s">
        <v>32</v>
      </c>
      <c r="M11" t="s">
        <v>43</v>
      </c>
    </row>
    <row r="12" spans="2:17" x14ac:dyDescent="0.3">
      <c r="B12" t="s">
        <v>29</v>
      </c>
      <c r="C12" t="s">
        <v>33</v>
      </c>
    </row>
    <row r="13" spans="2:17" x14ac:dyDescent="0.3">
      <c r="B13" t="s">
        <v>29</v>
      </c>
      <c r="C13" t="s">
        <v>33</v>
      </c>
      <c r="E13" s="10" t="s">
        <v>40</v>
      </c>
      <c r="M13" s="11" t="s">
        <v>34</v>
      </c>
      <c r="N13" s="11" t="s">
        <v>42</v>
      </c>
    </row>
    <row r="14" spans="2:17" x14ac:dyDescent="0.3">
      <c r="B14" t="s">
        <v>30</v>
      </c>
      <c r="C14" t="s">
        <v>31</v>
      </c>
      <c r="E14" s="10" t="s">
        <v>41</v>
      </c>
      <c r="M14" s="11" t="s">
        <v>35</v>
      </c>
      <c r="N14" t="s">
        <v>32</v>
      </c>
      <c r="O14" t="s">
        <v>31</v>
      </c>
      <c r="P14" t="s">
        <v>33</v>
      </c>
      <c r="Q14" t="s">
        <v>36</v>
      </c>
    </row>
    <row r="15" spans="2:17" x14ac:dyDescent="0.3">
      <c r="B15" t="s">
        <v>30</v>
      </c>
      <c r="C15" t="s">
        <v>32</v>
      </c>
      <c r="M15" s="12" t="s">
        <v>30</v>
      </c>
      <c r="N15" s="14">
        <v>6</v>
      </c>
      <c r="O15" s="14">
        <v>6</v>
      </c>
      <c r="P15" s="14"/>
      <c r="Q15" s="14">
        <v>12</v>
      </c>
    </row>
    <row r="16" spans="2:17" x14ac:dyDescent="0.3">
      <c r="B16" t="s">
        <v>30</v>
      </c>
      <c r="C16" t="s">
        <v>32</v>
      </c>
      <c r="M16" s="12" t="s">
        <v>29</v>
      </c>
      <c r="N16" s="14">
        <v>2</v>
      </c>
      <c r="O16" s="14">
        <v>2</v>
      </c>
      <c r="P16" s="14">
        <v>4</v>
      </c>
      <c r="Q16" s="14">
        <v>8</v>
      </c>
    </row>
    <row r="17" spans="2:18" x14ac:dyDescent="0.3">
      <c r="B17" t="s">
        <v>29</v>
      </c>
      <c r="C17" t="s">
        <v>31</v>
      </c>
      <c r="M17" s="12" t="s">
        <v>36</v>
      </c>
      <c r="N17" s="14">
        <v>8</v>
      </c>
      <c r="O17" s="14">
        <v>8</v>
      </c>
      <c r="P17" s="14">
        <v>4</v>
      </c>
      <c r="Q17" s="14">
        <v>20</v>
      </c>
    </row>
    <row r="18" spans="2:18" x14ac:dyDescent="0.3">
      <c r="B18" t="s">
        <v>30</v>
      </c>
      <c r="C18" t="s">
        <v>32</v>
      </c>
    </row>
    <row r="19" spans="2:18" x14ac:dyDescent="0.3">
      <c r="B19" t="s">
        <v>30</v>
      </c>
      <c r="C19" t="s">
        <v>31</v>
      </c>
      <c r="M19" s="8" t="s">
        <v>44</v>
      </c>
    </row>
    <row r="20" spans="2:18" x14ac:dyDescent="0.3">
      <c r="B20" t="s">
        <v>30</v>
      </c>
      <c r="C20" t="s">
        <v>31</v>
      </c>
    </row>
    <row r="21" spans="2:18" x14ac:dyDescent="0.3">
      <c r="B21" t="s">
        <v>29</v>
      </c>
      <c r="C21" t="s">
        <v>32</v>
      </c>
      <c r="L21" s="13" t="s">
        <v>47</v>
      </c>
      <c r="M21" s="13" t="s">
        <v>35</v>
      </c>
      <c r="N21" s="13" t="s">
        <v>32</v>
      </c>
      <c r="O21" s="13" t="s">
        <v>31</v>
      </c>
      <c r="P21" s="13" t="s">
        <v>33</v>
      </c>
      <c r="Q21" s="13" t="s">
        <v>45</v>
      </c>
    </row>
    <row r="22" spans="2:18" x14ac:dyDescent="0.3">
      <c r="B22" t="s">
        <v>29</v>
      </c>
      <c r="C22" t="s">
        <v>33</v>
      </c>
      <c r="M22" s="12" t="s">
        <v>30</v>
      </c>
      <c r="N22" s="14">
        <v>6</v>
      </c>
      <c r="O22" s="14">
        <v>6</v>
      </c>
      <c r="P22" s="14"/>
      <c r="Q22" s="14">
        <v>12</v>
      </c>
    </row>
    <row r="23" spans="2:18" x14ac:dyDescent="0.3">
      <c r="B23" t="s">
        <v>29</v>
      </c>
      <c r="C23" t="s">
        <v>33</v>
      </c>
      <c r="M23" s="12" t="s">
        <v>29</v>
      </c>
      <c r="N23" s="14">
        <v>2</v>
      </c>
      <c r="O23" s="14">
        <v>2</v>
      </c>
      <c r="P23" s="14">
        <v>4</v>
      </c>
      <c r="Q23" s="14">
        <v>8</v>
      </c>
    </row>
    <row r="24" spans="2:18" x14ac:dyDescent="0.3">
      <c r="B24" t="s">
        <v>30</v>
      </c>
      <c r="C24" t="s">
        <v>31</v>
      </c>
      <c r="M24" s="15" t="s">
        <v>46</v>
      </c>
      <c r="N24" s="16">
        <v>8</v>
      </c>
      <c r="O24" s="16">
        <v>8</v>
      </c>
      <c r="P24" s="16">
        <v>4</v>
      </c>
      <c r="Q24" s="16">
        <v>20</v>
      </c>
      <c r="R24" t="s">
        <v>36</v>
      </c>
    </row>
    <row r="25" spans="2:18" x14ac:dyDescent="0.3">
      <c r="B25" t="s">
        <v>30</v>
      </c>
      <c r="C25" t="s">
        <v>32</v>
      </c>
    </row>
    <row r="26" spans="2:18" x14ac:dyDescent="0.3">
      <c r="B26" t="s">
        <v>30</v>
      </c>
      <c r="C26" t="s">
        <v>32</v>
      </c>
      <c r="M26" s="8" t="s">
        <v>48</v>
      </c>
    </row>
    <row r="28" spans="2:18" x14ac:dyDescent="0.3">
      <c r="L28" s="13" t="s">
        <v>49</v>
      </c>
      <c r="M28" s="13" t="s">
        <v>35</v>
      </c>
      <c r="N28" s="13" t="s">
        <v>32</v>
      </c>
      <c r="O28" s="13" t="s">
        <v>31</v>
      </c>
      <c r="P28" s="13" t="s">
        <v>33</v>
      </c>
    </row>
    <row r="29" spans="2:18" x14ac:dyDescent="0.3">
      <c r="M29" s="12" t="s">
        <v>30</v>
      </c>
      <c r="N29" s="14">
        <f>Q22*N24/Q24</f>
        <v>4.8</v>
      </c>
      <c r="O29" s="14">
        <f>Q22*O24/Q24</f>
        <v>4.8</v>
      </c>
      <c r="P29" s="14">
        <f>Q22*P24/Q24</f>
        <v>2.4</v>
      </c>
      <c r="Q29" s="14"/>
    </row>
    <row r="30" spans="2:18" x14ac:dyDescent="0.3">
      <c r="M30" s="12" t="s">
        <v>29</v>
      </c>
      <c r="N30" s="14">
        <f>Q23*N24/Q24</f>
        <v>3.2</v>
      </c>
      <c r="O30" s="14">
        <f>Q23*O24/Q24</f>
        <v>3.2</v>
      </c>
      <c r="P30" s="14">
        <f>Q23*P24/Q24</f>
        <v>1.6</v>
      </c>
      <c r="Q30" s="14"/>
    </row>
    <row r="31" spans="2:18" x14ac:dyDescent="0.3">
      <c r="M31" s="15"/>
      <c r="N31" s="14"/>
      <c r="O31" s="14"/>
      <c r="P31" s="14"/>
      <c r="Q31" s="14"/>
    </row>
    <row r="34" spans="5:16" x14ac:dyDescent="0.3">
      <c r="L34" s="17" t="s">
        <v>50</v>
      </c>
    </row>
    <row r="38" spans="5:16" x14ac:dyDescent="0.3">
      <c r="L38" s="13" t="s">
        <v>51</v>
      </c>
      <c r="M38" s="13" t="s">
        <v>35</v>
      </c>
      <c r="N38" s="13" t="s">
        <v>32</v>
      </c>
      <c r="O38" s="13" t="s">
        <v>31</v>
      </c>
      <c r="P38" s="13" t="s">
        <v>33</v>
      </c>
    </row>
    <row r="39" spans="5:16" x14ac:dyDescent="0.3">
      <c r="M39" s="12" t="s">
        <v>30</v>
      </c>
      <c r="N39" s="14">
        <f>(N22-N29)^2/N29</f>
        <v>0.3000000000000001</v>
      </c>
      <c r="O39" s="14">
        <f t="shared" ref="O39:P40" si="0">(O22-O29)^2/O29</f>
        <v>0.3000000000000001</v>
      </c>
      <c r="P39" s="14">
        <f t="shared" si="0"/>
        <v>2.4</v>
      </c>
    </row>
    <row r="40" spans="5:16" x14ac:dyDescent="0.3">
      <c r="M40" s="12" t="s">
        <v>29</v>
      </c>
      <c r="N40" s="14">
        <f>(N23-N30)^2/N30</f>
        <v>0.45000000000000012</v>
      </c>
      <c r="O40" s="14">
        <f t="shared" si="0"/>
        <v>0.45000000000000012</v>
      </c>
      <c r="P40" s="14">
        <f t="shared" si="0"/>
        <v>3.5999999999999996</v>
      </c>
    </row>
    <row r="41" spans="5:16" x14ac:dyDescent="0.3">
      <c r="M41" s="15"/>
      <c r="N41" s="14"/>
      <c r="O41" s="14"/>
      <c r="P41" s="14"/>
    </row>
    <row r="43" spans="5:16" x14ac:dyDescent="0.3">
      <c r="E43" s="20" t="s">
        <v>59</v>
      </c>
      <c r="L43" s="18" t="s">
        <v>52</v>
      </c>
      <c r="N43">
        <f>SUM(N39:P40)</f>
        <v>7.5</v>
      </c>
    </row>
    <row r="44" spans="5:16" x14ac:dyDescent="0.3">
      <c r="E44" t="s">
        <v>58</v>
      </c>
      <c r="F44">
        <f>_xlfn.CHISQ.DIST.RT(7.5,2)</f>
        <v>2.3517745856009107E-2</v>
      </c>
      <c r="L44" s="19" t="s">
        <v>53</v>
      </c>
    </row>
    <row r="46" spans="5:16" x14ac:dyDescent="0.3">
      <c r="L46" t="s">
        <v>54</v>
      </c>
    </row>
    <row r="47" spans="5:16" x14ac:dyDescent="0.3">
      <c r="L47" t="s">
        <v>55</v>
      </c>
    </row>
    <row r="49" spans="12:13" x14ac:dyDescent="0.3">
      <c r="L49" s="21" t="s">
        <v>56</v>
      </c>
      <c r="M49" s="21">
        <v>7.5</v>
      </c>
    </row>
    <row r="50" spans="12:13" x14ac:dyDescent="0.3">
      <c r="L50" s="21" t="s">
        <v>57</v>
      </c>
      <c r="M50" s="21">
        <v>2</v>
      </c>
    </row>
    <row r="51" spans="12:13" x14ac:dyDescent="0.3">
      <c r="L51" s="21" t="s">
        <v>60</v>
      </c>
      <c r="M51" s="21">
        <f>_xlfn.CHISQ.DIST.RT(7.5,2)</f>
        <v>2.3517745856009107E-2</v>
      </c>
    </row>
    <row r="54" spans="12:13" ht="72" x14ac:dyDescent="0.3">
      <c r="L54" s="22" t="s">
        <v>61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3197-3217-4499-84E4-CD1DCA31AAE3}">
  <dimension ref="B2:T30"/>
  <sheetViews>
    <sheetView topLeftCell="E10" workbookViewId="0">
      <selection activeCell="P31" sqref="P31"/>
    </sheetView>
  </sheetViews>
  <sheetFormatPr defaultRowHeight="14.4" x14ac:dyDescent="0.3"/>
  <cols>
    <col min="2" max="2" width="13.33203125" customWidth="1"/>
    <col min="3" max="3" width="14.5546875" customWidth="1"/>
    <col min="4" max="4" width="15.21875" customWidth="1"/>
    <col min="14" max="14" width="17.88671875" customWidth="1"/>
  </cols>
  <sheetData>
    <row r="2" spans="2:18" ht="23.4" x14ac:dyDescent="0.45">
      <c r="B2" s="1" t="s">
        <v>62</v>
      </c>
    </row>
    <row r="5" spans="2:18" x14ac:dyDescent="0.3">
      <c r="B5" s="2" t="s">
        <v>63</v>
      </c>
    </row>
    <row r="6" spans="2:18" x14ac:dyDescent="0.3">
      <c r="B6" s="23" t="s">
        <v>64</v>
      </c>
      <c r="C6" s="23" t="s">
        <v>65</v>
      </c>
      <c r="D6" s="23" t="s">
        <v>66</v>
      </c>
      <c r="G6" s="25" t="s">
        <v>67</v>
      </c>
      <c r="H6" s="3"/>
      <c r="I6" s="3"/>
      <c r="J6" s="3"/>
      <c r="K6" s="3"/>
      <c r="L6" s="3"/>
      <c r="M6" s="3"/>
      <c r="N6" s="3"/>
      <c r="O6" s="3"/>
      <c r="P6" s="3"/>
    </row>
    <row r="7" spans="2:18" x14ac:dyDescent="0.3">
      <c r="B7" s="24">
        <v>210</v>
      </c>
      <c r="C7" s="24">
        <v>210</v>
      </c>
      <c r="D7" s="24">
        <v>180</v>
      </c>
      <c r="G7" s="3" t="s">
        <v>68</v>
      </c>
    </row>
    <row r="8" spans="2:18" x14ac:dyDescent="0.3">
      <c r="B8" s="24">
        <v>240</v>
      </c>
      <c r="C8" s="24">
        <v>240</v>
      </c>
      <c r="D8" s="24">
        <v>210</v>
      </c>
      <c r="G8" s="9" t="s">
        <v>75</v>
      </c>
    </row>
    <row r="9" spans="2:18" x14ac:dyDescent="0.3">
      <c r="B9" s="24">
        <v>270</v>
      </c>
      <c r="C9" s="24">
        <v>240</v>
      </c>
      <c r="D9" s="24">
        <v>210</v>
      </c>
      <c r="G9" s="26" t="s">
        <v>73</v>
      </c>
      <c r="H9" s="26"/>
      <c r="I9" s="26"/>
      <c r="J9" s="26"/>
      <c r="K9" s="26"/>
      <c r="L9" s="26"/>
    </row>
    <row r="10" spans="2:18" x14ac:dyDescent="0.3">
      <c r="B10" s="24">
        <v>270</v>
      </c>
      <c r="C10" s="24">
        <v>270</v>
      </c>
      <c r="D10" s="24">
        <v>210</v>
      </c>
      <c r="G10" s="26" t="s">
        <v>74</v>
      </c>
      <c r="H10" s="26"/>
      <c r="I10" s="26"/>
      <c r="J10" s="26"/>
      <c r="K10" s="26"/>
      <c r="L10" s="26"/>
    </row>
    <row r="11" spans="2:18" x14ac:dyDescent="0.3">
      <c r="B11" s="24">
        <v>300</v>
      </c>
      <c r="C11" s="24">
        <v>270</v>
      </c>
      <c r="D11" s="24">
        <v>240</v>
      </c>
      <c r="N11" t="s">
        <v>76</v>
      </c>
    </row>
    <row r="12" spans="2:18" x14ac:dyDescent="0.3">
      <c r="B12" s="24">
        <v>280</v>
      </c>
      <c r="C12" s="24">
        <v>230</v>
      </c>
      <c r="D12" s="24">
        <v>220</v>
      </c>
      <c r="J12" s="8"/>
    </row>
    <row r="13" spans="2:18" ht="15" thickBot="1" x14ac:dyDescent="0.35">
      <c r="B13" s="24">
        <v>300</v>
      </c>
      <c r="C13" s="24">
        <v>210</v>
      </c>
      <c r="D13" s="24">
        <v>180</v>
      </c>
      <c r="N13" t="s">
        <v>77</v>
      </c>
    </row>
    <row r="14" spans="2:18" x14ac:dyDescent="0.3">
      <c r="B14" s="24">
        <v>250</v>
      </c>
      <c r="C14" s="24">
        <v>240</v>
      </c>
      <c r="D14" s="24">
        <v>230</v>
      </c>
      <c r="N14" s="7" t="s">
        <v>78</v>
      </c>
      <c r="O14" s="7" t="s">
        <v>79</v>
      </c>
      <c r="P14" s="7" t="s">
        <v>80</v>
      </c>
      <c r="Q14" s="7" t="s">
        <v>81</v>
      </c>
      <c r="R14" s="7" t="s">
        <v>82</v>
      </c>
    </row>
    <row r="15" spans="2:18" x14ac:dyDescent="0.3">
      <c r="B15" s="24">
        <v>260</v>
      </c>
      <c r="C15" s="24">
        <v>260</v>
      </c>
      <c r="D15" s="24">
        <v>200</v>
      </c>
      <c r="N15" s="5" t="s">
        <v>64</v>
      </c>
      <c r="O15" s="5">
        <v>9</v>
      </c>
      <c r="P15" s="5">
        <v>2380</v>
      </c>
      <c r="Q15" s="5">
        <v>264.44444444444446</v>
      </c>
      <c r="R15" s="5">
        <v>827.77777777778101</v>
      </c>
    </row>
    <row r="16" spans="2:18" x14ac:dyDescent="0.3">
      <c r="N16" s="5" t="s">
        <v>65</v>
      </c>
      <c r="O16" s="5">
        <v>9</v>
      </c>
      <c r="P16" s="5">
        <v>2170</v>
      </c>
      <c r="Q16" s="5">
        <v>241.11111111111111</v>
      </c>
      <c r="R16" s="5">
        <v>511.11111111111103</v>
      </c>
    </row>
    <row r="17" spans="2:20" ht="15" thickBot="1" x14ac:dyDescent="0.35">
      <c r="N17" s="6" t="s">
        <v>66</v>
      </c>
      <c r="O17" s="6">
        <v>9</v>
      </c>
      <c r="P17" s="6">
        <v>1880</v>
      </c>
      <c r="Q17" s="6">
        <v>208.88888888888889</v>
      </c>
      <c r="R17" s="6">
        <v>411.11111111111109</v>
      </c>
    </row>
    <row r="18" spans="2:20" x14ac:dyDescent="0.3">
      <c r="B18" t="s">
        <v>69</v>
      </c>
    </row>
    <row r="19" spans="2:20" x14ac:dyDescent="0.3">
      <c r="B19" t="s">
        <v>70</v>
      </c>
    </row>
    <row r="20" spans="2:20" ht="15" thickBot="1" x14ac:dyDescent="0.35">
      <c r="B20" t="s">
        <v>71</v>
      </c>
      <c r="N20" t="s">
        <v>62</v>
      </c>
    </row>
    <row r="21" spans="2:20" x14ac:dyDescent="0.3">
      <c r="C21" t="s">
        <v>72</v>
      </c>
      <c r="N21" s="7" t="s">
        <v>83</v>
      </c>
      <c r="O21" s="7" t="s">
        <v>84</v>
      </c>
      <c r="P21" s="7" t="s">
        <v>57</v>
      </c>
      <c r="Q21" s="7" t="s">
        <v>85</v>
      </c>
      <c r="R21" s="7" t="s">
        <v>30</v>
      </c>
      <c r="S21" s="7" t="s">
        <v>86</v>
      </c>
      <c r="T21" s="7" t="s">
        <v>87</v>
      </c>
    </row>
    <row r="22" spans="2:20" x14ac:dyDescent="0.3">
      <c r="N22" s="5" t="s">
        <v>88</v>
      </c>
      <c r="O22" s="5">
        <v>14007.407407407405</v>
      </c>
      <c r="P22" s="5">
        <v>2</v>
      </c>
      <c r="Q22" s="5">
        <v>7003.7037037037026</v>
      </c>
      <c r="R22" s="5">
        <v>12.006349206349203</v>
      </c>
      <c r="S22" s="5">
        <v>2.4336690651033204E-4</v>
      </c>
      <c r="T22" s="5">
        <v>3.4028261053501945</v>
      </c>
    </row>
    <row r="23" spans="2:20" x14ac:dyDescent="0.3">
      <c r="N23" s="5" t="s">
        <v>89</v>
      </c>
      <c r="O23" s="5">
        <v>14000</v>
      </c>
      <c r="P23" s="5">
        <v>24</v>
      </c>
      <c r="Q23" s="5">
        <v>583.33333333333337</v>
      </c>
      <c r="R23" s="5"/>
      <c r="S23" s="5"/>
      <c r="T23" s="5"/>
    </row>
    <row r="24" spans="2:20" x14ac:dyDescent="0.3">
      <c r="N24" s="5"/>
      <c r="O24" s="5"/>
      <c r="P24" s="5"/>
      <c r="Q24" s="5"/>
      <c r="R24" s="5"/>
      <c r="S24" s="5"/>
      <c r="T24" s="5"/>
    </row>
    <row r="25" spans="2:20" ht="15" thickBot="1" x14ac:dyDescent="0.35">
      <c r="N25" s="6" t="s">
        <v>90</v>
      </c>
      <c r="O25" s="6">
        <v>28007.407407407405</v>
      </c>
      <c r="P25" s="6">
        <v>26</v>
      </c>
      <c r="Q25" s="6"/>
      <c r="R25" s="6"/>
      <c r="S25" s="6"/>
      <c r="T25" s="6"/>
    </row>
    <row r="29" spans="2:20" x14ac:dyDescent="0.3">
      <c r="N29" s="8" t="s">
        <v>91</v>
      </c>
    </row>
    <row r="30" spans="2:20" x14ac:dyDescent="0.3">
      <c r="N30" s="8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705C-5B01-4AC3-A741-FA8BC0817B3D}">
  <dimension ref="B2:I29"/>
  <sheetViews>
    <sheetView tabSelected="1" topLeftCell="A13" workbookViewId="0">
      <selection activeCell="C36" sqref="C36"/>
    </sheetView>
  </sheetViews>
  <sheetFormatPr defaultRowHeight="14.4" x14ac:dyDescent="0.3"/>
  <sheetData>
    <row r="2" spans="2:9" ht="23.4" x14ac:dyDescent="0.45">
      <c r="B2" s="1" t="s">
        <v>93</v>
      </c>
    </row>
    <row r="4" spans="2:9" ht="15.6" x14ac:dyDescent="0.3">
      <c r="I4" s="28" t="s">
        <v>98</v>
      </c>
    </row>
    <row r="5" spans="2:9" ht="15.6" x14ac:dyDescent="0.3">
      <c r="B5" s="27" t="s">
        <v>94</v>
      </c>
      <c r="C5" s="27" t="s">
        <v>95</v>
      </c>
      <c r="E5" s="27" t="s">
        <v>96</v>
      </c>
      <c r="F5" s="27" t="s">
        <v>97</v>
      </c>
    </row>
    <row r="6" spans="2:9" x14ac:dyDescent="0.3">
      <c r="B6" s="24">
        <v>171</v>
      </c>
      <c r="C6" s="24">
        <v>80</v>
      </c>
      <c r="E6" s="24">
        <v>23</v>
      </c>
      <c r="F6" s="24">
        <v>10200</v>
      </c>
    </row>
    <row r="7" spans="2:9" x14ac:dyDescent="0.3">
      <c r="B7" s="24">
        <v>170</v>
      </c>
      <c r="C7" s="24">
        <v>80</v>
      </c>
      <c r="E7" s="24">
        <v>24</v>
      </c>
      <c r="F7" s="24">
        <v>18000</v>
      </c>
    </row>
    <row r="8" spans="2:9" x14ac:dyDescent="0.3">
      <c r="B8" s="24">
        <v>165</v>
      </c>
      <c r="C8" s="24">
        <v>70</v>
      </c>
      <c r="E8" s="24">
        <v>31</v>
      </c>
      <c r="F8" s="24">
        <v>45000</v>
      </c>
    </row>
    <row r="9" spans="2:9" x14ac:dyDescent="0.3">
      <c r="B9" s="24">
        <v>180</v>
      </c>
      <c r="C9" s="24">
        <v>91</v>
      </c>
      <c r="E9" s="24">
        <v>34</v>
      </c>
      <c r="F9" s="24">
        <v>80000</v>
      </c>
    </row>
    <row r="10" spans="2:9" x14ac:dyDescent="0.3">
      <c r="B10" s="24">
        <v>182</v>
      </c>
      <c r="C10" s="24">
        <v>92</v>
      </c>
      <c r="E10" s="24">
        <v>24</v>
      </c>
      <c r="F10" s="24">
        <v>12000</v>
      </c>
    </row>
    <row r="11" spans="2:9" x14ac:dyDescent="0.3">
      <c r="B11" s="24">
        <v>172</v>
      </c>
      <c r="C11" s="24">
        <v>81</v>
      </c>
      <c r="E11" s="24">
        <v>22</v>
      </c>
      <c r="F11" s="24">
        <v>8000</v>
      </c>
    </row>
    <row r="12" spans="2:9" x14ac:dyDescent="0.3">
      <c r="B12" s="24">
        <v>156</v>
      </c>
      <c r="C12" s="24">
        <v>65</v>
      </c>
      <c r="E12" s="24">
        <v>35</v>
      </c>
      <c r="F12" s="24">
        <v>92000</v>
      </c>
    </row>
    <row r="13" spans="2:9" x14ac:dyDescent="0.3">
      <c r="B13" s="24">
        <v>140</v>
      </c>
      <c r="C13" s="24">
        <v>61</v>
      </c>
      <c r="E13" s="24">
        <v>27</v>
      </c>
      <c r="F13" s="24">
        <v>20000</v>
      </c>
    </row>
    <row r="14" spans="2:9" x14ac:dyDescent="0.3">
      <c r="B14" s="24">
        <v>180</v>
      </c>
      <c r="C14" s="24">
        <v>91</v>
      </c>
      <c r="E14" s="24">
        <v>21</v>
      </c>
      <c r="F14" s="24">
        <v>12000</v>
      </c>
    </row>
    <row r="15" spans="2:9" x14ac:dyDescent="0.3">
      <c r="B15" s="24">
        <v>170</v>
      </c>
      <c r="C15" s="24">
        <v>85</v>
      </c>
      <c r="E15" s="24">
        <v>39</v>
      </c>
      <c r="F15" s="24">
        <v>140000</v>
      </c>
    </row>
    <row r="20" spans="2:8" ht="15" thickBot="1" x14ac:dyDescent="0.35"/>
    <row r="21" spans="2:8" x14ac:dyDescent="0.3">
      <c r="B21" s="7"/>
      <c r="C21" s="7" t="s">
        <v>94</v>
      </c>
      <c r="D21" s="7" t="s">
        <v>95</v>
      </c>
      <c r="F21" s="7"/>
      <c r="G21" s="7" t="s">
        <v>96</v>
      </c>
      <c r="H21" s="7" t="s">
        <v>97</v>
      </c>
    </row>
    <row r="22" spans="2:8" x14ac:dyDescent="0.3">
      <c r="B22" s="5" t="s">
        <v>94</v>
      </c>
      <c r="C22" s="5">
        <v>1</v>
      </c>
      <c r="D22" s="5"/>
      <c r="F22" s="5" t="s">
        <v>96</v>
      </c>
      <c r="G22" s="5">
        <v>1</v>
      </c>
      <c r="H22" s="5"/>
    </row>
    <row r="23" spans="2:8" ht="15" thickBot="1" x14ac:dyDescent="0.35">
      <c r="B23" s="6" t="s">
        <v>95</v>
      </c>
      <c r="C23" s="6">
        <v>0.94398373028210592</v>
      </c>
      <c r="D23" s="6">
        <v>1</v>
      </c>
      <c r="F23" s="6" t="s">
        <v>97</v>
      </c>
      <c r="G23" s="6">
        <v>0.96068868037662647</v>
      </c>
      <c r="H23" s="6">
        <v>1</v>
      </c>
    </row>
    <row r="26" spans="2:8" x14ac:dyDescent="0.3">
      <c r="B26">
        <f>CORREL(B6:B15,C6:C15)</f>
        <v>0.94398373028210592</v>
      </c>
      <c r="F26">
        <f>CORREL(E6:E15,F6:F15)</f>
        <v>0.96068868037662647</v>
      </c>
    </row>
    <row r="29" spans="2:8" x14ac:dyDescent="0.3">
      <c r="B29" t="s">
        <v>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AE7B08-D6CF-456C-89C8-FFA0BA5DA9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Z-Test</vt:lpstr>
      <vt:lpstr>T - Test</vt:lpstr>
      <vt:lpstr>Chi- Square Test</vt:lpstr>
      <vt:lpstr>ANOVA</vt:lpstr>
      <vt:lpstr>Correlation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Nair</dc:creator>
  <cp:lastModifiedBy>Sneha Nair</cp:lastModifiedBy>
  <dcterms:created xsi:type="dcterms:W3CDTF">2026-06-14T06:16:27Z</dcterms:created>
  <dcterms:modified xsi:type="dcterms:W3CDTF">2026-06-14T08:16:58Z</dcterms:modified>
</cp:coreProperties>
</file>